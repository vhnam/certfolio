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0851423445257075968/WOPIServiceId_TP_DROPBOX_PLUS/WOPIUserId_-/"/>
    </mc:Choice>
  </mc:AlternateContent>
  <xr:revisionPtr revIDLastSave="60" documentId="8_{578C1B8B-26F3-4F3E-AAC8-D212C1F28902}" xr6:coauthVersionLast="47" xr6:coauthVersionMax="47" xr10:uidLastSave="{54C77BB1-1583-4C5B-8261-84105C690A24}"/>
  <bookViews>
    <workbookView xWindow="9170" yWindow="3090" windowWidth="28800" windowHeight="17020" xr2:uid="{99035EE8-E35E-4900-8F98-C216C6CF1472}"/>
  </bookViews>
  <sheets>
    <sheet name="Example" sheetId="1" r:id="rId1"/>
    <sheet name="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D24" i="2"/>
  <c r="C24" i="2"/>
  <c r="D23" i="2"/>
  <c r="C23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D24" i="1"/>
  <c r="C24" i="1"/>
  <c r="C23" i="1"/>
  <c r="D23" i="1"/>
  <c r="F4" i="1" l="1"/>
  <c r="F11" i="1"/>
  <c r="F14" i="1"/>
  <c r="F17" i="1"/>
  <c r="F21" i="1"/>
  <c r="F6" i="1"/>
  <c r="F13" i="1"/>
  <c r="F16" i="1"/>
  <c r="F19" i="1"/>
  <c r="F22" i="1"/>
  <c r="F7" i="1"/>
  <c r="F5" i="1"/>
  <c r="F8" i="1"/>
  <c r="F10" i="1"/>
  <c r="F12" i="1"/>
  <c r="F15" i="1"/>
  <c r="F18" i="1"/>
  <c r="F20" i="1"/>
  <c r="F9" i="1"/>
  <c r="F3" i="1"/>
  <c r="F16" i="2"/>
  <c r="F17" i="2"/>
  <c r="F15" i="2"/>
  <c r="F22" i="2"/>
  <c r="F14" i="2"/>
  <c r="F21" i="2"/>
  <c r="F6" i="2"/>
  <c r="F4" i="2"/>
  <c r="F18" i="2"/>
  <c r="F10" i="2"/>
  <c r="F19" i="2"/>
  <c r="F9" i="2"/>
  <c r="F13" i="2"/>
  <c r="F7" i="2"/>
  <c r="F12" i="2"/>
  <c r="F3" i="2"/>
  <c r="F11" i="2"/>
  <c r="F8" i="2"/>
  <c r="F20" i="2"/>
  <c r="F5" i="2"/>
  <c r="E16" i="2"/>
  <c r="E15" i="2"/>
  <c r="E14" i="2"/>
  <c r="E3" i="2"/>
  <c r="E21" i="2"/>
  <c r="E18" i="2"/>
  <c r="E13" i="2"/>
  <c r="E12" i="2"/>
  <c r="E7" i="2"/>
  <c r="E10" i="2"/>
  <c r="E22" i="2"/>
  <c r="E9" i="2"/>
  <c r="E8" i="2"/>
  <c r="E17" i="2"/>
  <c r="E6" i="2"/>
  <c r="E5" i="2"/>
  <c r="E11" i="2"/>
  <c r="E20" i="2"/>
  <c r="E19" i="2"/>
  <c r="E4" i="2"/>
</calcChain>
</file>

<file path=xl/sharedStrings.xml><?xml version="1.0" encoding="utf-8"?>
<sst xmlns="http://schemas.openxmlformats.org/spreadsheetml/2006/main" count="46" uniqueCount="31">
  <si>
    <t>RAW</t>
  </si>
  <si>
    <t>Z-SCORE</t>
  </si>
  <si>
    <t>No</t>
  </si>
  <si>
    <t>Feature</t>
  </si>
  <si>
    <t>Feasibility</t>
  </si>
  <si>
    <t>Benefit</t>
  </si>
  <si>
    <t>One-click login</t>
  </si>
  <si>
    <t>Personalized dashboard</t>
  </si>
  <si>
    <t>Advanced search filters</t>
  </si>
  <si>
    <t>Real-time notifications</t>
  </si>
  <si>
    <t>Dark mode toggle</t>
  </si>
  <si>
    <t>Voice commands</t>
  </si>
  <si>
    <t>Drag-and-drop interface</t>
  </si>
  <si>
    <t>Offline mode</t>
  </si>
  <si>
    <t>Social sharing features</t>
  </si>
  <si>
    <t>Customizable shortcuts</t>
  </si>
  <si>
    <t>Auto-save functionality</t>
  </si>
  <si>
    <t>Multi-language support</t>
  </si>
  <si>
    <t>Tutorial walkthrough</t>
  </si>
  <si>
    <t>Quick action buttons</t>
  </si>
  <si>
    <t>Export to PDF</t>
  </si>
  <si>
    <t>Collaborative editing</t>
  </si>
  <si>
    <t>Mobile-responsive design</t>
  </si>
  <si>
    <t>Undo/redo functionality</t>
  </si>
  <si>
    <t>Batch operations</t>
  </si>
  <si>
    <t>Integration with calendar</t>
  </si>
  <si>
    <t>Mean</t>
  </si>
  <si>
    <t>Std Dev</t>
  </si>
  <si>
    <t>INSTRUCTIONS: Fill in the feature names, raw benefit and feasibility.</t>
  </si>
  <si>
    <t>It doesn't matter what range the numbers take, as the calculated Z-Scores</t>
  </si>
  <si>
    <t>will usually run from -3.0 to +3.0 (standard devs from the average).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</si>
</sst>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2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Feasibility x Benefit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565437815968519E-2"/>
          <c:y val="0.15280482141567167"/>
          <c:w val="0.94936569041239582"/>
          <c:h val="0.7764219151505144"/>
        </c:manualLayout>
      </c:layout>
      <c:scatterChart>
        <c:scatterStyle val="lineMarker"/>
        <c:varyColors val="0"/>
        <c:ser>
          <c:idx val="0"/>
          <c:order val="0"/>
          <c:tx>
            <c:strRef>
              <c:f>Example!$C$2</c:f>
              <c:strCache>
                <c:ptCount val="1"/>
                <c:pt idx="0">
                  <c:v>Feasibility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6248300860897147E-3"/>
                  <c:y val="3.9318479685452164E-2"/>
                </c:manualLayout>
              </c:layout>
              <c:tx>
                <c:rich>
                  <a:bodyPr/>
                  <a:lstStyle/>
                  <a:p>
                    <a:fld id="{42943B3C-7804-46A4-A45F-BC389363462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479-4261-B829-B74344BBD2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20FD94-5214-4F43-9046-D627AAC916E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479-4261-B829-B74344BBD2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84B6E9-FA87-4CA3-8489-D6884BF3C16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479-4261-B829-B74344BBD2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7815B5-2C53-466A-AE86-3372EECF2C1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479-4261-B829-B74344BBD2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6CAE15A-662A-46A3-B7BE-09BDB41698C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479-4261-B829-B74344BBD2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3AE117B-EFBD-44AC-8786-187C7DC12EF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479-4261-B829-B74344BBD2E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09E419-FC24-40CB-85DD-729509D2BA4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479-4261-B829-B74344BBD2E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F4FC802-E31F-4975-AEA8-F72B5F56810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479-4261-B829-B74344BBD2E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2523E2B-8987-42BC-BCDF-02F204B326A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479-4261-B829-B74344BBD2E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2FEBABD-B37E-4470-8BA7-0866F431863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479-4261-B829-B74344BBD2E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86D33E1-DB81-4C21-9AEA-F365FDA3260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479-4261-B829-B74344BBD2E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1184E01-47F2-4B4E-923E-9B5436F4877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479-4261-B829-B74344BBD2E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31F72AB-C654-4FF7-95BA-693FDE6B492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479-4261-B829-B74344BBD2E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7CC7200-DD32-42D1-82BF-EA97051DE86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479-4261-B829-B74344BBD2E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86809CC-2761-443B-AEF4-B5FE3FC31AB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479-4261-B829-B74344BBD2E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A9EC754-DB10-4B0A-8F6B-96BBFC2AB17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479-4261-B829-B74344BBD2E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79228AC-AC22-4C0B-8314-5640F37F512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479-4261-B829-B74344BBD2E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6BB7B38-2D9A-405A-9872-42273F4A27E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479-4261-B829-B74344BBD2E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F3B3D8E-F8B3-455D-83EF-25079C721FA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479-4261-B829-B74344BBD2E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C074CAA-3422-4956-942A-60C038500FC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479-4261-B829-B74344BBD2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Example!$E$3:$E$22</c:f>
              <c:numCache>
                <c:formatCode>0.00</c:formatCode>
                <c:ptCount val="20"/>
                <c:pt idx="0">
                  <c:v>-0.94318363838785002</c:v>
                </c:pt>
                <c:pt idx="1">
                  <c:v>-0.41919272817237774</c:v>
                </c:pt>
                <c:pt idx="2">
                  <c:v>0.10479818204309455</c:v>
                </c:pt>
                <c:pt idx="3">
                  <c:v>-0.41919272817237774</c:v>
                </c:pt>
                <c:pt idx="4">
                  <c:v>1.6767709126895114</c:v>
                </c:pt>
                <c:pt idx="5">
                  <c:v>-1.4671745486033223</c:v>
                </c:pt>
                <c:pt idx="6">
                  <c:v>0.10479818204309455</c:v>
                </c:pt>
                <c:pt idx="7">
                  <c:v>-0.94318363838785002</c:v>
                </c:pt>
                <c:pt idx="8">
                  <c:v>0.62878909225856683</c:v>
                </c:pt>
                <c:pt idx="9">
                  <c:v>1.1527800024740391</c:v>
                </c:pt>
                <c:pt idx="10">
                  <c:v>0.62878909225856683</c:v>
                </c:pt>
                <c:pt idx="11">
                  <c:v>-0.41919272817237774</c:v>
                </c:pt>
                <c:pt idx="12">
                  <c:v>1.1527800024740391</c:v>
                </c:pt>
                <c:pt idx="13">
                  <c:v>1.6767709126895114</c:v>
                </c:pt>
                <c:pt idx="14">
                  <c:v>0.10479818204309455</c:v>
                </c:pt>
                <c:pt idx="15">
                  <c:v>-1.9911654588187946</c:v>
                </c:pt>
                <c:pt idx="16">
                  <c:v>0.62878909225856683</c:v>
                </c:pt>
                <c:pt idx="17">
                  <c:v>-0.41919272817237774</c:v>
                </c:pt>
                <c:pt idx="18">
                  <c:v>0.10479818204309455</c:v>
                </c:pt>
                <c:pt idx="19">
                  <c:v>-0.94318363838785002</c:v>
                </c:pt>
              </c:numCache>
            </c:numRef>
          </c:xVal>
          <c:yVal>
            <c:numRef>
              <c:f>Example!$F$3:$F$22</c:f>
              <c:numCache>
                <c:formatCode>0.00</c:formatCode>
                <c:ptCount val="20"/>
                <c:pt idx="0">
                  <c:v>-0.25884487579118254</c:v>
                </c:pt>
                <c:pt idx="1">
                  <c:v>1.1403166149719663</c:v>
                </c:pt>
                <c:pt idx="2">
                  <c:v>2.0987422361447235E-2</c:v>
                </c:pt>
                <c:pt idx="3">
                  <c:v>-1.0983417702490719</c:v>
                </c:pt>
                <c:pt idx="4">
                  <c:v>-0.25884487579118254</c:v>
                </c:pt>
                <c:pt idx="5">
                  <c:v>-1.0983417702490719</c:v>
                </c:pt>
                <c:pt idx="6">
                  <c:v>0.4407358695903919</c:v>
                </c:pt>
                <c:pt idx="7">
                  <c:v>-1.5180902174780166</c:v>
                </c:pt>
                <c:pt idx="8">
                  <c:v>-0.11892872671486766</c:v>
                </c:pt>
                <c:pt idx="9">
                  <c:v>2.0987422361447235E-2</c:v>
                </c:pt>
                <c:pt idx="10">
                  <c:v>1.1403166149719663</c:v>
                </c:pt>
                <c:pt idx="11">
                  <c:v>-0.39876102486749743</c:v>
                </c:pt>
                <c:pt idx="12">
                  <c:v>-1.3781740684017016</c:v>
                </c:pt>
                <c:pt idx="13">
                  <c:v>0.30081972051407702</c:v>
                </c:pt>
                <c:pt idx="14">
                  <c:v>-0.53867717394381232</c:v>
                </c:pt>
                <c:pt idx="15">
                  <c:v>1.4201489131245961</c:v>
                </c:pt>
                <c:pt idx="16">
                  <c:v>2.1197296585061705</c:v>
                </c:pt>
                <c:pt idx="17">
                  <c:v>0.72056816774302168</c:v>
                </c:pt>
                <c:pt idx="18">
                  <c:v>-1.2382579193253869</c:v>
                </c:pt>
                <c:pt idx="19">
                  <c:v>0.58065201866670679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Example!$A$3:$A$22</c15:f>
                <c15:dlblRangeCache>
                  <c:ptCount val="2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479-4261-B829-B74344BBD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23039"/>
        <c:axId val="238920159"/>
      </c:scatterChart>
      <c:valAx>
        <c:axId val="238923039"/>
        <c:scaling>
          <c:orientation val="minMax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20159"/>
        <c:crosses val="autoZero"/>
        <c:crossBetween val="midCat"/>
      </c:valAx>
      <c:valAx>
        <c:axId val="2389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2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Feasibility x Benefit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565437815968519E-2"/>
          <c:y val="0.15280482141567167"/>
          <c:w val="0.94936569041239582"/>
          <c:h val="0.77642191515051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Template!$C$2</c:f>
              <c:strCache>
                <c:ptCount val="1"/>
                <c:pt idx="0">
                  <c:v>Feasibility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6248300860897147E-3"/>
                  <c:y val="3.9318479685452164E-2"/>
                </c:manualLayout>
              </c:layout>
              <c:tx>
                <c:rich>
                  <a:bodyPr/>
                  <a:lstStyle/>
                  <a:p>
                    <a:fld id="{362B2187-2D17-4963-8698-296F4CF49F6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2F8-496E-B9B6-C3ED19CC63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CEB50B-A62F-4E94-8890-D9EAE877D4D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2F8-496E-B9B6-C3ED19CC63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3B000D-2DDC-4A2A-8235-8707EF2BFC8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2F8-496E-B9B6-C3ED19CC63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BE42C4C-5EF2-4C56-9FC6-A7E2A79E91B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2F8-496E-B9B6-C3ED19CC635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10B25DD-9DFC-4158-A633-F4FFFB7D28D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2F8-496E-B9B6-C3ED19CC635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A57D43-2EF8-4B65-9A07-FC1EB06B2D1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2F8-496E-B9B6-C3ED19CC635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95FBB8F-6FAE-4344-B6A6-7567C2333CE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2F8-496E-B9B6-C3ED19CC635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61A3817-9BC2-460B-83AE-3FCBEC40E9C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2F8-496E-B9B6-C3ED19CC635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5E094F-D485-44C2-BF80-86B75A54F45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2F8-496E-B9B6-C3ED19CC635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162C232-3CC0-441E-8C77-F9DF32E167F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2F8-496E-B9B6-C3ED19CC635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E7DBEB9-FA7D-4B1F-82E7-325381412CE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2F8-496E-B9B6-C3ED19CC635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E25CA1A-82EB-45AC-B0D6-A245E5E090A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2F8-496E-B9B6-C3ED19CC635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F1F8397-5489-4F00-91DF-26C1C4161E7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2F8-496E-B9B6-C3ED19CC635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FB725C9-5554-45D4-8A3A-4D8D47446A9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2F8-496E-B9B6-C3ED19CC635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56B44B7-B9D8-4825-882D-6F0B0A7DA87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2F8-496E-B9B6-C3ED19CC635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420EC8D-1DD6-4428-8DF6-431B9353998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2F8-496E-B9B6-C3ED19CC635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012D24A-CA32-4FF1-A5BB-918CC307CB0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2F8-496E-B9B6-C3ED19CC635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2DE418D-2E36-4E03-9CB9-EDB251AA33D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2F8-496E-B9B6-C3ED19CC635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D41C072-DBD2-44F9-A3AE-D83A183DF78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2F8-496E-B9B6-C3ED19CC635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6334B18-54B0-4A78-9BDC-459A7CBC45F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2F8-496E-B9B6-C3ED19CC63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Template!$E$3:$E$22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Template!$F$3:$F$22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Template!$A$3:$A$22</c15:f>
                <c15:dlblRangeCache>
                  <c:ptCount val="2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42F8-496E-B9B6-C3ED19CC6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23039"/>
        <c:axId val="238920159"/>
      </c:scatterChart>
      <c:valAx>
        <c:axId val="238923039"/>
        <c:scaling>
          <c:orientation val="minMax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20159"/>
        <c:crosses val="autoZero"/>
        <c:crossBetween val="midCat"/>
      </c:valAx>
      <c:valAx>
        <c:axId val="2389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2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3174</xdr:colOff>
      <xdr:row>0</xdr:row>
      <xdr:rowOff>0</xdr:rowOff>
    </xdr:from>
    <xdr:to>
      <xdr:col>18</xdr:col>
      <xdr:colOff>304799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F73D6-1357-A499-A37B-D447CF5E4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0.66017</cdr:x>
      <cdr:y>0.08781</cdr:y>
    </cdr:from>
    <cdr:to>
      <cdr:x>0.97825</cdr:x>
      <cdr:y>0.1481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8685BD1-6190-81BB-EBEC-1264222ED460}"/>
            </a:ext>
          </a:extLst>
        </cdr:cNvPr>
        <cdr:cNvSpPr txBox="1"/>
      </cdr:nvSpPr>
      <cdr:spPr>
        <a:xfrm xmlns:a="http://schemas.openxmlformats.org/drawingml/2006/main">
          <a:off x="4625960" y="425444"/>
          <a:ext cx="2228866" cy="292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400" b="1" kern="1200"/>
            <a:t>High </a:t>
          </a:r>
          <a:r>
            <a:rPr lang="en-GB" sz="1400" b="1" kern="1200" baseline="0"/>
            <a:t>Feasibility, High Benefit</a:t>
          </a:r>
        </a:p>
      </cdr:txBody>
    </cdr:sp>
  </cdr:relSizeAnchor>
  <cdr:relSizeAnchor xmlns:cdr="http://schemas.openxmlformats.org/drawingml/2006/chartDrawing">
    <cdr:from>
      <cdr:x>0.01359</cdr:x>
      <cdr:y>0.08978</cdr:y>
    </cdr:from>
    <cdr:to>
      <cdr:x>0.33666</cdr:x>
      <cdr:y>0.14613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6B330FD-7F0A-A86D-BC92-1417CC7513F3}"/>
            </a:ext>
          </a:extLst>
        </cdr:cNvPr>
        <cdr:cNvSpPr txBox="1"/>
      </cdr:nvSpPr>
      <cdr:spPr>
        <a:xfrm xmlns:a="http://schemas.openxmlformats.org/drawingml/2006/main">
          <a:off x="95228" y="434966"/>
          <a:ext cx="2263798" cy="273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 kern="1200"/>
            <a:t>Low </a:t>
          </a:r>
          <a:r>
            <a:rPr lang="en-GB" sz="1400" b="1" kern="1200" baseline="0"/>
            <a:t>Feasibility, High Benefit</a:t>
          </a:r>
        </a:p>
      </cdr:txBody>
    </cdr:sp>
  </cdr:relSizeAnchor>
  <cdr:relSizeAnchor xmlns:cdr="http://schemas.openxmlformats.org/drawingml/2006/chartDrawing">
    <cdr:from>
      <cdr:x>0.01541</cdr:x>
      <cdr:y>0.92923</cdr:y>
    </cdr:from>
    <cdr:to>
      <cdr:x>0.32578</cdr:x>
      <cdr:y>0.99869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10827AF-45A6-9F99-2F3D-D64CA6F7BF6B}"/>
            </a:ext>
          </a:extLst>
        </cdr:cNvPr>
        <cdr:cNvSpPr txBox="1"/>
      </cdr:nvSpPr>
      <cdr:spPr>
        <a:xfrm xmlns:a="http://schemas.openxmlformats.org/drawingml/2006/main">
          <a:off x="107981" y="4502166"/>
          <a:ext cx="2174845" cy="3365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 kern="1200"/>
            <a:t>Low </a:t>
          </a:r>
          <a:r>
            <a:rPr lang="en-GB" sz="1400" b="1" kern="1200" baseline="0"/>
            <a:t>Feasibility, Low Benefit</a:t>
          </a:r>
        </a:p>
      </cdr:txBody>
    </cdr:sp>
  </cdr:relSizeAnchor>
  <cdr:relSizeAnchor xmlns:cdr="http://schemas.openxmlformats.org/drawingml/2006/chartDrawing">
    <cdr:from>
      <cdr:x>0.66787</cdr:x>
      <cdr:y>0.93513</cdr:y>
    </cdr:from>
    <cdr:to>
      <cdr:x>0.98006</cdr:x>
      <cdr:y>0.99279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5A74E75-B31B-95BD-FB6F-21DF0687E877}"/>
            </a:ext>
          </a:extLst>
        </cdr:cNvPr>
        <cdr:cNvSpPr txBox="1"/>
      </cdr:nvSpPr>
      <cdr:spPr>
        <a:xfrm xmlns:a="http://schemas.openxmlformats.org/drawingml/2006/main">
          <a:off x="4679915" y="4530752"/>
          <a:ext cx="2187611" cy="2793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 kern="1200"/>
            <a:t>High Feasibility,</a:t>
          </a:r>
          <a:r>
            <a:rPr lang="en-GB" sz="1400" b="1" kern="1200" baseline="0"/>
            <a:t> Low Benefit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3174</xdr:colOff>
      <xdr:row>0</xdr:row>
      <xdr:rowOff>6350</xdr:rowOff>
    </xdr:from>
    <xdr:to>
      <xdr:col>18</xdr:col>
      <xdr:colOff>304799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1D2D1-9D3B-422D-A45C-D174CCEB8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0.66017</cdr:x>
      <cdr:y>0.08781</cdr:y>
    </cdr:from>
    <cdr:to>
      <cdr:x>0.97825</cdr:x>
      <cdr:y>0.1481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8685BD1-6190-81BB-EBEC-1264222ED460}"/>
            </a:ext>
          </a:extLst>
        </cdr:cNvPr>
        <cdr:cNvSpPr txBox="1"/>
      </cdr:nvSpPr>
      <cdr:spPr>
        <a:xfrm xmlns:a="http://schemas.openxmlformats.org/drawingml/2006/main">
          <a:off x="4625960" y="425444"/>
          <a:ext cx="2228866" cy="292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400" b="1" kern="1200"/>
            <a:t>High </a:t>
          </a:r>
          <a:r>
            <a:rPr lang="en-GB" sz="1400" b="1" kern="1200" baseline="0"/>
            <a:t>Feasibility, High Benefit</a:t>
          </a:r>
        </a:p>
      </cdr:txBody>
    </cdr:sp>
  </cdr:relSizeAnchor>
  <cdr:relSizeAnchor xmlns:cdr="http://schemas.openxmlformats.org/drawingml/2006/chartDrawing">
    <cdr:from>
      <cdr:x>0.01359</cdr:x>
      <cdr:y>0.08978</cdr:y>
    </cdr:from>
    <cdr:to>
      <cdr:x>0.33666</cdr:x>
      <cdr:y>0.14613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6B330FD-7F0A-A86D-BC92-1417CC7513F3}"/>
            </a:ext>
          </a:extLst>
        </cdr:cNvPr>
        <cdr:cNvSpPr txBox="1"/>
      </cdr:nvSpPr>
      <cdr:spPr>
        <a:xfrm xmlns:a="http://schemas.openxmlformats.org/drawingml/2006/main">
          <a:off x="95228" y="434966"/>
          <a:ext cx="2263798" cy="273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 kern="1200"/>
            <a:t>Low </a:t>
          </a:r>
          <a:r>
            <a:rPr lang="en-GB" sz="1400" b="1" kern="1200" baseline="0"/>
            <a:t>Feasibility, High Benefit</a:t>
          </a:r>
        </a:p>
      </cdr:txBody>
    </cdr:sp>
  </cdr:relSizeAnchor>
  <cdr:relSizeAnchor xmlns:cdr="http://schemas.openxmlformats.org/drawingml/2006/chartDrawing">
    <cdr:from>
      <cdr:x>0.01541</cdr:x>
      <cdr:y>0.92923</cdr:y>
    </cdr:from>
    <cdr:to>
      <cdr:x>0.32578</cdr:x>
      <cdr:y>0.99869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10827AF-45A6-9F99-2F3D-D64CA6F7BF6B}"/>
            </a:ext>
          </a:extLst>
        </cdr:cNvPr>
        <cdr:cNvSpPr txBox="1"/>
      </cdr:nvSpPr>
      <cdr:spPr>
        <a:xfrm xmlns:a="http://schemas.openxmlformats.org/drawingml/2006/main">
          <a:off x="107981" y="4502166"/>
          <a:ext cx="2174845" cy="3365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 kern="1200"/>
            <a:t>Low </a:t>
          </a:r>
          <a:r>
            <a:rPr lang="en-GB" sz="1400" b="1" kern="1200" baseline="0"/>
            <a:t>Feasibility, Low Benefit</a:t>
          </a:r>
        </a:p>
      </cdr:txBody>
    </cdr:sp>
  </cdr:relSizeAnchor>
  <cdr:relSizeAnchor xmlns:cdr="http://schemas.openxmlformats.org/drawingml/2006/chartDrawing">
    <cdr:from>
      <cdr:x>0.66787</cdr:x>
      <cdr:y>0.93513</cdr:y>
    </cdr:from>
    <cdr:to>
      <cdr:x>0.98006</cdr:x>
      <cdr:y>0.99279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5A74E75-B31B-95BD-FB6F-21DF0687E877}"/>
            </a:ext>
          </a:extLst>
        </cdr:cNvPr>
        <cdr:cNvSpPr txBox="1"/>
      </cdr:nvSpPr>
      <cdr:spPr>
        <a:xfrm xmlns:a="http://schemas.openxmlformats.org/drawingml/2006/main">
          <a:off x="4679915" y="4530752"/>
          <a:ext cx="2187611" cy="2793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 kern="1200"/>
            <a:t>High Feasibility,</a:t>
          </a:r>
          <a:r>
            <a:rPr lang="en-GB" sz="1400" b="1" kern="1200" baseline="0"/>
            <a:t> Low Benefit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FC16-50F6-4489-8E35-23C64B13FE51}">
  <dimension ref="A1:F28"/>
  <sheetViews>
    <sheetView tabSelected="1" workbookViewId="0">
      <selection activeCell="G39" sqref="G39"/>
    </sheetView>
  </sheetViews>
  <sheetFormatPr defaultRowHeight="14.45"/>
  <cols>
    <col min="1" max="1" width="6.140625" style="6" customWidth="1"/>
    <col min="2" max="2" width="21.42578125" bestFit="1" customWidth="1"/>
    <col min="3" max="5" width="9" bestFit="1" customWidth="1"/>
    <col min="6" max="6" width="6.5703125" bestFit="1" customWidth="1"/>
  </cols>
  <sheetData>
    <row r="1" spans="1:6">
      <c r="C1" s="10" t="s">
        <v>0</v>
      </c>
      <c r="D1" s="10"/>
      <c r="E1" s="10" t="s">
        <v>1</v>
      </c>
      <c r="F1" s="10"/>
    </row>
    <row r="2" spans="1:6">
      <c r="A2" s="6" t="s">
        <v>2</v>
      </c>
      <c r="B2" s="1" t="s">
        <v>3</v>
      </c>
      <c r="C2" s="8" t="s">
        <v>4</v>
      </c>
      <c r="D2" s="8" t="s">
        <v>5</v>
      </c>
      <c r="E2" s="8" t="s">
        <v>4</v>
      </c>
      <c r="F2" s="8" t="s">
        <v>5</v>
      </c>
    </row>
    <row r="3" spans="1:6">
      <c r="A3" s="6">
        <v>1</v>
      </c>
      <c r="B3" s="1" t="s">
        <v>6</v>
      </c>
      <c r="C3" s="1">
        <v>4</v>
      </c>
      <c r="D3" s="1">
        <v>115</v>
      </c>
      <c r="E3" s="9">
        <f>(C3-C$23)/C$24</f>
        <v>-0.94318363838785002</v>
      </c>
      <c r="F3" s="9">
        <f>(D3-D$23)/D$24</f>
        <v>-0.25884487579118254</v>
      </c>
    </row>
    <row r="4" spans="1:6">
      <c r="A4" s="6">
        <v>2</v>
      </c>
      <c r="B4" s="1" t="s">
        <v>7</v>
      </c>
      <c r="C4" s="1">
        <v>5</v>
      </c>
      <c r="D4" s="1">
        <v>165</v>
      </c>
      <c r="E4" s="9">
        <f t="shared" ref="E4:E22" si="0">(C4-C$23)/C$24</f>
        <v>-0.41919272817237774</v>
      </c>
      <c r="F4" s="9">
        <f t="shared" ref="F4:F22" si="1">(D4-D$23)/D$24</f>
        <v>1.1403166149719663</v>
      </c>
    </row>
    <row r="5" spans="1:6">
      <c r="A5" s="6">
        <v>3</v>
      </c>
      <c r="B5" s="1" t="s">
        <v>8</v>
      </c>
      <c r="C5" s="1">
        <v>6</v>
      </c>
      <c r="D5" s="1">
        <v>125</v>
      </c>
      <c r="E5" s="9">
        <f t="shared" si="0"/>
        <v>0.10479818204309455</v>
      </c>
      <c r="F5" s="9">
        <f t="shared" si="1"/>
        <v>2.0987422361447235E-2</v>
      </c>
    </row>
    <row r="6" spans="1:6">
      <c r="A6" s="6">
        <v>4</v>
      </c>
      <c r="B6" s="1" t="s">
        <v>9</v>
      </c>
      <c r="C6" s="1">
        <v>5</v>
      </c>
      <c r="D6" s="1">
        <v>85</v>
      </c>
      <c r="E6" s="9">
        <f t="shared" si="0"/>
        <v>-0.41919272817237774</v>
      </c>
      <c r="F6" s="9">
        <f t="shared" si="1"/>
        <v>-1.0983417702490719</v>
      </c>
    </row>
    <row r="7" spans="1:6">
      <c r="A7" s="6">
        <v>5</v>
      </c>
      <c r="B7" s="1" t="s">
        <v>10</v>
      </c>
      <c r="C7" s="1">
        <v>9</v>
      </c>
      <c r="D7" s="1">
        <v>115</v>
      </c>
      <c r="E7" s="9">
        <f t="shared" si="0"/>
        <v>1.6767709126895114</v>
      </c>
      <c r="F7" s="9">
        <f t="shared" si="1"/>
        <v>-0.25884487579118254</v>
      </c>
    </row>
    <row r="8" spans="1:6">
      <c r="A8" s="6">
        <v>6</v>
      </c>
      <c r="B8" s="1" t="s">
        <v>11</v>
      </c>
      <c r="C8" s="1">
        <v>3</v>
      </c>
      <c r="D8" s="1">
        <v>85</v>
      </c>
      <c r="E8" s="9">
        <f t="shared" si="0"/>
        <v>-1.4671745486033223</v>
      </c>
      <c r="F8" s="9">
        <f t="shared" si="1"/>
        <v>-1.0983417702490719</v>
      </c>
    </row>
    <row r="9" spans="1:6">
      <c r="A9" s="6">
        <v>7</v>
      </c>
      <c r="B9" s="1" t="s">
        <v>12</v>
      </c>
      <c r="C9" s="1">
        <v>6</v>
      </c>
      <c r="D9" s="1">
        <v>140</v>
      </c>
      <c r="E9" s="9">
        <f t="shared" si="0"/>
        <v>0.10479818204309455</v>
      </c>
      <c r="F9" s="9">
        <f t="shared" si="1"/>
        <v>0.4407358695903919</v>
      </c>
    </row>
    <row r="10" spans="1:6">
      <c r="A10" s="6">
        <v>8</v>
      </c>
      <c r="B10" s="1" t="s">
        <v>13</v>
      </c>
      <c r="C10" s="1">
        <v>4</v>
      </c>
      <c r="D10" s="1">
        <v>70</v>
      </c>
      <c r="E10" s="9">
        <f t="shared" si="0"/>
        <v>-0.94318363838785002</v>
      </c>
      <c r="F10" s="9">
        <f t="shared" si="1"/>
        <v>-1.5180902174780166</v>
      </c>
    </row>
    <row r="11" spans="1:6">
      <c r="A11" s="6">
        <v>9</v>
      </c>
      <c r="B11" s="1" t="s">
        <v>14</v>
      </c>
      <c r="C11" s="1">
        <v>7</v>
      </c>
      <c r="D11" s="1">
        <v>120</v>
      </c>
      <c r="E11" s="9">
        <f t="shared" si="0"/>
        <v>0.62878909225856683</v>
      </c>
      <c r="F11" s="9">
        <f t="shared" si="1"/>
        <v>-0.11892872671486766</v>
      </c>
    </row>
    <row r="12" spans="1:6">
      <c r="A12" s="6">
        <v>10</v>
      </c>
      <c r="B12" s="1" t="s">
        <v>15</v>
      </c>
      <c r="C12" s="1">
        <v>8</v>
      </c>
      <c r="D12" s="1">
        <v>125</v>
      </c>
      <c r="E12" s="9">
        <f t="shared" si="0"/>
        <v>1.1527800024740391</v>
      </c>
      <c r="F12" s="9">
        <f t="shared" si="1"/>
        <v>2.0987422361447235E-2</v>
      </c>
    </row>
    <row r="13" spans="1:6">
      <c r="A13" s="6">
        <v>11</v>
      </c>
      <c r="B13" s="1" t="s">
        <v>16</v>
      </c>
      <c r="C13" s="1">
        <v>7</v>
      </c>
      <c r="D13" s="1">
        <v>165</v>
      </c>
      <c r="E13" s="9">
        <f t="shared" si="0"/>
        <v>0.62878909225856683</v>
      </c>
      <c r="F13" s="9">
        <f t="shared" si="1"/>
        <v>1.1403166149719663</v>
      </c>
    </row>
    <row r="14" spans="1:6">
      <c r="A14" s="6">
        <v>12</v>
      </c>
      <c r="B14" s="1" t="s">
        <v>17</v>
      </c>
      <c r="C14" s="1">
        <v>5</v>
      </c>
      <c r="D14" s="1">
        <v>110</v>
      </c>
      <c r="E14" s="9">
        <f t="shared" si="0"/>
        <v>-0.41919272817237774</v>
      </c>
      <c r="F14" s="9">
        <f t="shared" si="1"/>
        <v>-0.39876102486749743</v>
      </c>
    </row>
    <row r="15" spans="1:6">
      <c r="A15" s="6">
        <v>13</v>
      </c>
      <c r="B15" s="1" t="s">
        <v>18</v>
      </c>
      <c r="C15" s="1">
        <v>8</v>
      </c>
      <c r="D15" s="1">
        <v>75</v>
      </c>
      <c r="E15" s="9">
        <f t="shared" si="0"/>
        <v>1.1527800024740391</v>
      </c>
      <c r="F15" s="9">
        <f t="shared" si="1"/>
        <v>-1.3781740684017016</v>
      </c>
    </row>
    <row r="16" spans="1:6">
      <c r="A16" s="6">
        <v>14</v>
      </c>
      <c r="B16" s="1" t="s">
        <v>19</v>
      </c>
      <c r="C16" s="1">
        <v>9</v>
      </c>
      <c r="D16" s="1">
        <v>135</v>
      </c>
      <c r="E16" s="9">
        <f t="shared" si="0"/>
        <v>1.6767709126895114</v>
      </c>
      <c r="F16" s="9">
        <f t="shared" si="1"/>
        <v>0.30081972051407702</v>
      </c>
    </row>
    <row r="17" spans="1:6">
      <c r="A17" s="6">
        <v>15</v>
      </c>
      <c r="B17" s="1" t="s">
        <v>20</v>
      </c>
      <c r="C17" s="1">
        <v>6</v>
      </c>
      <c r="D17" s="1">
        <v>105</v>
      </c>
      <c r="E17" s="9">
        <f t="shared" si="0"/>
        <v>0.10479818204309455</v>
      </c>
      <c r="F17" s="9">
        <f t="shared" si="1"/>
        <v>-0.53867717394381232</v>
      </c>
    </row>
    <row r="18" spans="1:6">
      <c r="A18" s="6">
        <v>16</v>
      </c>
      <c r="B18" s="1" t="s">
        <v>21</v>
      </c>
      <c r="C18" s="1">
        <v>2</v>
      </c>
      <c r="D18" s="1">
        <v>175</v>
      </c>
      <c r="E18" s="9">
        <f t="shared" si="0"/>
        <v>-1.9911654588187946</v>
      </c>
      <c r="F18" s="9">
        <f t="shared" si="1"/>
        <v>1.4201489131245961</v>
      </c>
    </row>
    <row r="19" spans="1:6">
      <c r="A19" s="6">
        <v>17</v>
      </c>
      <c r="B19" s="1" t="s">
        <v>22</v>
      </c>
      <c r="C19" s="1">
        <v>7</v>
      </c>
      <c r="D19" s="1">
        <v>200</v>
      </c>
      <c r="E19" s="9">
        <f t="shared" si="0"/>
        <v>0.62878909225856683</v>
      </c>
      <c r="F19" s="9">
        <f t="shared" si="1"/>
        <v>2.1197296585061705</v>
      </c>
    </row>
    <row r="20" spans="1:6">
      <c r="A20" s="6">
        <v>18</v>
      </c>
      <c r="B20" s="1" t="s">
        <v>23</v>
      </c>
      <c r="C20" s="1">
        <v>5</v>
      </c>
      <c r="D20" s="1">
        <v>150</v>
      </c>
      <c r="E20" s="9">
        <f t="shared" si="0"/>
        <v>-0.41919272817237774</v>
      </c>
      <c r="F20" s="9">
        <f t="shared" si="1"/>
        <v>0.72056816774302168</v>
      </c>
    </row>
    <row r="21" spans="1:6">
      <c r="A21" s="6">
        <v>19</v>
      </c>
      <c r="B21" s="1" t="s">
        <v>24</v>
      </c>
      <c r="C21" s="1">
        <v>6</v>
      </c>
      <c r="D21" s="1">
        <v>80</v>
      </c>
      <c r="E21" s="9">
        <f t="shared" si="0"/>
        <v>0.10479818204309455</v>
      </c>
      <c r="F21" s="9">
        <f t="shared" si="1"/>
        <v>-1.2382579193253869</v>
      </c>
    </row>
    <row r="22" spans="1:6">
      <c r="A22" s="6">
        <v>20</v>
      </c>
      <c r="B22" s="1" t="s">
        <v>25</v>
      </c>
      <c r="C22" s="1">
        <v>4</v>
      </c>
      <c r="D22" s="1">
        <v>145</v>
      </c>
      <c r="E22" s="9">
        <f t="shared" si="0"/>
        <v>-0.94318363838785002</v>
      </c>
      <c r="F22" s="9">
        <f t="shared" si="1"/>
        <v>0.58065201866670679</v>
      </c>
    </row>
    <row r="23" spans="1:6" s="3" customFormat="1">
      <c r="A23" s="7"/>
      <c r="B23" s="2" t="s">
        <v>26</v>
      </c>
      <c r="C23" s="3">
        <f>AVERAGE(C3:C22)</f>
        <v>5.8</v>
      </c>
      <c r="D23" s="4">
        <f>AVERAGE(D3:D22)</f>
        <v>124.25</v>
      </c>
    </row>
    <row r="24" spans="1:6" s="3" customFormat="1">
      <c r="A24" s="7"/>
      <c r="B24" s="3" t="s">
        <v>27</v>
      </c>
      <c r="C24" s="5">
        <f>_xlfn.STDEV.S(C3:C22)</f>
        <v>1.9084300519426687</v>
      </c>
      <c r="D24" s="5">
        <f>_xlfn.STDEV.S(D3:D22)</f>
        <v>35.73568907526775</v>
      </c>
    </row>
    <row r="26" spans="1:6">
      <c r="B26" t="s">
        <v>28</v>
      </c>
    </row>
    <row r="27" spans="1:6">
      <c r="B27" t="s">
        <v>29</v>
      </c>
    </row>
    <row r="28" spans="1:6">
      <c r="B28" t="s">
        <v>30</v>
      </c>
    </row>
  </sheetData>
  <mergeCells count="2">
    <mergeCell ref="C1:D1"/>
    <mergeCell ref="E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B077-2540-403F-9698-A51CE979A402}">
  <dimension ref="A1:F28"/>
  <sheetViews>
    <sheetView workbookViewId="0">
      <selection activeCell="F3" sqref="F3"/>
    </sheetView>
  </sheetViews>
  <sheetFormatPr defaultRowHeight="14.45"/>
  <cols>
    <col min="1" max="1" width="6.140625" style="6" customWidth="1"/>
    <col min="2" max="2" width="21.42578125" bestFit="1" customWidth="1"/>
    <col min="3" max="5" width="9" bestFit="1" customWidth="1"/>
    <col min="6" max="6" width="6.5703125" bestFit="1" customWidth="1"/>
  </cols>
  <sheetData>
    <row r="1" spans="1:6">
      <c r="C1" s="10" t="s">
        <v>0</v>
      </c>
      <c r="D1" s="10"/>
      <c r="E1" s="10" t="s">
        <v>1</v>
      </c>
      <c r="F1" s="10"/>
    </row>
    <row r="2" spans="1:6">
      <c r="A2" s="6" t="s">
        <v>2</v>
      </c>
      <c r="B2" s="1" t="s">
        <v>3</v>
      </c>
      <c r="C2" s="8" t="s">
        <v>4</v>
      </c>
      <c r="D2" s="8" t="s">
        <v>5</v>
      </c>
      <c r="E2" s="8" t="s">
        <v>4</v>
      </c>
      <c r="F2" s="8" t="s">
        <v>5</v>
      </c>
    </row>
    <row r="3" spans="1:6">
      <c r="A3" s="6">
        <v>1</v>
      </c>
      <c r="B3" s="1"/>
      <c r="C3" s="1"/>
      <c r="D3" s="1"/>
      <c r="E3" s="9" t="e">
        <f>(C3-C$23)/C$24</f>
        <v>#DIV/0!</v>
      </c>
      <c r="F3" s="9" t="e">
        <f>(D3-D$23)/D$24</f>
        <v>#DIV/0!</v>
      </c>
    </row>
    <row r="4" spans="1:6">
      <c r="A4" s="6">
        <v>2</v>
      </c>
      <c r="B4" s="1"/>
      <c r="C4" s="1"/>
      <c r="D4" s="1"/>
      <c r="E4" s="9" t="e">
        <f t="shared" ref="E4:F22" si="0">(C4-C$23)/C$24</f>
        <v>#DIV/0!</v>
      </c>
      <c r="F4" s="9" t="e">
        <f t="shared" si="0"/>
        <v>#DIV/0!</v>
      </c>
    </row>
    <row r="5" spans="1:6">
      <c r="A5" s="6">
        <v>3</v>
      </c>
      <c r="B5" s="1"/>
      <c r="C5" s="1"/>
      <c r="D5" s="1"/>
      <c r="E5" s="9" t="e">
        <f t="shared" si="0"/>
        <v>#DIV/0!</v>
      </c>
      <c r="F5" s="9" t="e">
        <f t="shared" si="0"/>
        <v>#DIV/0!</v>
      </c>
    </row>
    <row r="6" spans="1:6">
      <c r="A6" s="6">
        <v>4</v>
      </c>
      <c r="B6" s="1"/>
      <c r="C6" s="1"/>
      <c r="D6" s="1"/>
      <c r="E6" s="9" t="e">
        <f t="shared" si="0"/>
        <v>#DIV/0!</v>
      </c>
      <c r="F6" s="9" t="e">
        <f t="shared" si="0"/>
        <v>#DIV/0!</v>
      </c>
    </row>
    <row r="7" spans="1:6">
      <c r="A7" s="6">
        <v>5</v>
      </c>
      <c r="B7" s="1"/>
      <c r="C7" s="1"/>
      <c r="D7" s="1"/>
      <c r="E7" s="9" t="e">
        <f t="shared" si="0"/>
        <v>#DIV/0!</v>
      </c>
      <c r="F7" s="9" t="e">
        <f t="shared" si="0"/>
        <v>#DIV/0!</v>
      </c>
    </row>
    <row r="8" spans="1:6">
      <c r="A8" s="6">
        <v>6</v>
      </c>
      <c r="B8" s="1"/>
      <c r="C8" s="1"/>
      <c r="D8" s="1"/>
      <c r="E8" s="9" t="e">
        <f t="shared" si="0"/>
        <v>#DIV/0!</v>
      </c>
      <c r="F8" s="9" t="e">
        <f t="shared" si="0"/>
        <v>#DIV/0!</v>
      </c>
    </row>
    <row r="9" spans="1:6">
      <c r="A9" s="6">
        <v>7</v>
      </c>
      <c r="B9" s="1"/>
      <c r="C9" s="1"/>
      <c r="D9" s="1"/>
      <c r="E9" s="9" t="e">
        <f t="shared" si="0"/>
        <v>#DIV/0!</v>
      </c>
      <c r="F9" s="9" t="e">
        <f t="shared" si="0"/>
        <v>#DIV/0!</v>
      </c>
    </row>
    <row r="10" spans="1:6">
      <c r="A10" s="6">
        <v>8</v>
      </c>
      <c r="B10" s="1"/>
      <c r="C10" s="1"/>
      <c r="D10" s="1"/>
      <c r="E10" s="9" t="e">
        <f t="shared" si="0"/>
        <v>#DIV/0!</v>
      </c>
      <c r="F10" s="9" t="e">
        <f t="shared" si="0"/>
        <v>#DIV/0!</v>
      </c>
    </row>
    <row r="11" spans="1:6">
      <c r="A11" s="6">
        <v>9</v>
      </c>
      <c r="B11" s="1"/>
      <c r="C11" s="1"/>
      <c r="D11" s="1"/>
      <c r="E11" s="9" t="e">
        <f t="shared" si="0"/>
        <v>#DIV/0!</v>
      </c>
      <c r="F11" s="9" t="e">
        <f t="shared" si="0"/>
        <v>#DIV/0!</v>
      </c>
    </row>
    <row r="12" spans="1:6">
      <c r="A12" s="6">
        <v>10</v>
      </c>
      <c r="B12" s="1"/>
      <c r="C12" s="1"/>
      <c r="D12" s="1"/>
      <c r="E12" s="9" t="e">
        <f t="shared" si="0"/>
        <v>#DIV/0!</v>
      </c>
      <c r="F12" s="9" t="e">
        <f t="shared" si="0"/>
        <v>#DIV/0!</v>
      </c>
    </row>
    <row r="13" spans="1:6">
      <c r="A13" s="6">
        <v>11</v>
      </c>
      <c r="B13" s="1"/>
      <c r="C13" s="1"/>
      <c r="D13" s="1"/>
      <c r="E13" s="9" t="e">
        <f t="shared" si="0"/>
        <v>#DIV/0!</v>
      </c>
      <c r="F13" s="9" t="e">
        <f t="shared" si="0"/>
        <v>#DIV/0!</v>
      </c>
    </row>
    <row r="14" spans="1:6">
      <c r="A14" s="6">
        <v>12</v>
      </c>
      <c r="B14" s="1"/>
      <c r="C14" s="1"/>
      <c r="D14" s="1"/>
      <c r="E14" s="9" t="e">
        <f t="shared" si="0"/>
        <v>#DIV/0!</v>
      </c>
      <c r="F14" s="9" t="e">
        <f t="shared" si="0"/>
        <v>#DIV/0!</v>
      </c>
    </row>
    <row r="15" spans="1:6">
      <c r="A15" s="6">
        <v>13</v>
      </c>
      <c r="B15" s="1"/>
      <c r="C15" s="1"/>
      <c r="D15" s="1"/>
      <c r="E15" s="9" t="e">
        <f t="shared" si="0"/>
        <v>#DIV/0!</v>
      </c>
      <c r="F15" s="9" t="e">
        <f t="shared" si="0"/>
        <v>#DIV/0!</v>
      </c>
    </row>
    <row r="16" spans="1:6">
      <c r="A16" s="6">
        <v>14</v>
      </c>
      <c r="B16" s="1"/>
      <c r="C16" s="1"/>
      <c r="D16" s="1"/>
      <c r="E16" s="9" t="e">
        <f t="shared" si="0"/>
        <v>#DIV/0!</v>
      </c>
      <c r="F16" s="9" t="e">
        <f t="shared" si="0"/>
        <v>#DIV/0!</v>
      </c>
    </row>
    <row r="17" spans="1:6">
      <c r="A17" s="6">
        <v>15</v>
      </c>
      <c r="B17" s="1"/>
      <c r="C17" s="1"/>
      <c r="D17" s="1"/>
      <c r="E17" s="9" t="e">
        <f t="shared" si="0"/>
        <v>#DIV/0!</v>
      </c>
      <c r="F17" s="9" t="e">
        <f t="shared" si="0"/>
        <v>#DIV/0!</v>
      </c>
    </row>
    <row r="18" spans="1:6">
      <c r="A18" s="6">
        <v>16</v>
      </c>
      <c r="B18" s="1"/>
      <c r="C18" s="1"/>
      <c r="D18" s="1"/>
      <c r="E18" s="9" t="e">
        <f t="shared" si="0"/>
        <v>#DIV/0!</v>
      </c>
      <c r="F18" s="9" t="e">
        <f t="shared" si="0"/>
        <v>#DIV/0!</v>
      </c>
    </row>
    <row r="19" spans="1:6">
      <c r="A19" s="6">
        <v>17</v>
      </c>
      <c r="B19" s="1"/>
      <c r="C19" s="1"/>
      <c r="D19" s="1"/>
      <c r="E19" s="9" t="e">
        <f t="shared" si="0"/>
        <v>#DIV/0!</v>
      </c>
      <c r="F19" s="9" t="e">
        <f t="shared" si="0"/>
        <v>#DIV/0!</v>
      </c>
    </row>
    <row r="20" spans="1:6">
      <c r="A20" s="6">
        <v>18</v>
      </c>
      <c r="B20" s="1"/>
      <c r="C20" s="1"/>
      <c r="D20" s="1"/>
      <c r="E20" s="9" t="e">
        <f t="shared" si="0"/>
        <v>#DIV/0!</v>
      </c>
      <c r="F20" s="9" t="e">
        <f t="shared" si="0"/>
        <v>#DIV/0!</v>
      </c>
    </row>
    <row r="21" spans="1:6">
      <c r="A21" s="6">
        <v>19</v>
      </c>
      <c r="B21" s="1"/>
      <c r="C21" s="1"/>
      <c r="D21" s="1"/>
      <c r="E21" s="9" t="e">
        <f t="shared" si="0"/>
        <v>#DIV/0!</v>
      </c>
      <c r="F21" s="9" t="e">
        <f t="shared" si="0"/>
        <v>#DIV/0!</v>
      </c>
    </row>
    <row r="22" spans="1:6">
      <c r="A22" s="6">
        <v>20</v>
      </c>
      <c r="B22" s="1"/>
      <c r="C22" s="1"/>
      <c r="D22" s="1"/>
      <c r="E22" s="9" t="e">
        <f t="shared" si="0"/>
        <v>#DIV/0!</v>
      </c>
      <c r="F22" s="9" t="e">
        <f t="shared" si="0"/>
        <v>#DIV/0!</v>
      </c>
    </row>
    <row r="23" spans="1:6" s="3" customFormat="1">
      <c r="A23" s="7"/>
      <c r="B23" s="2" t="s">
        <v>26</v>
      </c>
      <c r="C23" s="3" t="e">
        <f>AVERAGE(C3:C22)</f>
        <v>#DIV/0!</v>
      </c>
      <c r="D23" s="4" t="e">
        <f>AVERAGE(D3:D22)</f>
        <v>#DIV/0!</v>
      </c>
    </row>
    <row r="24" spans="1:6" s="3" customFormat="1">
      <c r="A24" s="7"/>
      <c r="B24" s="3" t="s">
        <v>27</v>
      </c>
      <c r="C24" s="5" t="e">
        <f>_xlfn.STDEV.S(C3:C22)</f>
        <v>#DIV/0!</v>
      </c>
      <c r="D24" s="5" t="e">
        <f>_xlfn.STDEV.S(D3:D22)</f>
        <v>#DIV/0!</v>
      </c>
    </row>
    <row r="26" spans="1:6">
      <c r="B26" t="s">
        <v>28</v>
      </c>
    </row>
    <row r="27" spans="1:6">
      <c r="B27" t="s">
        <v>29</v>
      </c>
    </row>
    <row r="28" spans="1:6">
      <c r="B28" t="s">
        <v>30</v>
      </c>
    </row>
  </sheetData>
  <mergeCells count="2">
    <mergeCell ref="C1:D1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Hudson</dc:creator>
  <cp:keywords/>
  <dc:description/>
  <cp:lastModifiedBy>James Newhook</cp:lastModifiedBy>
  <cp:revision/>
  <dcterms:created xsi:type="dcterms:W3CDTF">2025-09-09T14:48:19Z</dcterms:created>
  <dcterms:modified xsi:type="dcterms:W3CDTF">2025-10-30T09:26:32Z</dcterms:modified>
  <cp:category/>
  <cp:contentStatus/>
</cp:coreProperties>
</file>